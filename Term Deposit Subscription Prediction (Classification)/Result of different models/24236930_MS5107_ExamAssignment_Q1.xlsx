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tkumar/Desktop/"/>
    </mc:Choice>
  </mc:AlternateContent>
  <xr:revisionPtr revIDLastSave="0" documentId="13_ncr:1_{BA0F8720-5D15-0F4F-BC05-D652962262D0}" xr6:coauthVersionLast="47" xr6:coauthVersionMax="47" xr10:uidLastSave="{00000000-0000-0000-0000-000000000000}"/>
  <bookViews>
    <workbookView xWindow="3420" yWindow="500" windowWidth="25380" windowHeight="16120" activeTab="3" xr2:uid="{1D85667E-6993-1648-BB24-3D0732E32C96}"/>
  </bookViews>
  <sheets>
    <sheet name="Answer Report 1" sheetId="8" r:id="rId1"/>
    <sheet name="Sensitivity Report 1" sheetId="9" r:id="rId2"/>
    <sheet name="Limits Report 1" sheetId="10" r:id="rId3"/>
    <sheet name="Sheet1" sheetId="1" r:id="rId4"/>
  </sheets>
  <definedNames>
    <definedName name="solver_adj" localSheetId="3" hidden="1">Sheet1!$E$5:$I$5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itr" localSheetId="3" hidden="1">2147483647</definedName>
    <definedName name="solver_lhs1" localSheetId="3" hidden="1">Sheet1!$E$5:$I$5</definedName>
    <definedName name="solver_lhs2" localSheetId="3" hidden="1">Sheet1!$J$10</definedName>
    <definedName name="solver_lhs3" localSheetId="3" hidden="1">Sheet1!$J$11</definedName>
    <definedName name="solver_lhs4" localSheetId="3" hidden="1">Sheet1!$J$12</definedName>
    <definedName name="solver_lhs5" localSheetId="3" hidden="1">Sheet1!$J$13</definedName>
    <definedName name="solver_lhs6" localSheetId="3" hidden="1">Sheet1!$J$14</definedName>
    <definedName name="solver_lhs7" localSheetId="3" hidden="1">Sheet1!$J$15</definedName>
    <definedName name="solver_lhs8" localSheetId="3" hidden="1">Sheet1!$J$9</definedName>
    <definedName name="solver_lin" localSheetId="3" hidden="1">1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8</definedName>
    <definedName name="solver_opt" localSheetId="3" hidden="1">Sheet1!$J$6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el2" localSheetId="3" hidden="1">1</definedName>
    <definedName name="solver_rel3" localSheetId="3" hidden="1">1</definedName>
    <definedName name="solver_rel4" localSheetId="3" hidden="1">3</definedName>
    <definedName name="solver_rel5" localSheetId="3" hidden="1">3</definedName>
    <definedName name="solver_rel6" localSheetId="3" hidden="1">3</definedName>
    <definedName name="solver_rel7" localSheetId="3" hidden="1">3</definedName>
    <definedName name="solver_rel8" localSheetId="3" hidden="1">1</definedName>
    <definedName name="solver_rhs1" localSheetId="3" hidden="1">0</definedName>
    <definedName name="solver_rhs2" localSheetId="3" hidden="1">Sheet1!$L$10</definedName>
    <definedName name="solver_rhs3" localSheetId="3" hidden="1">Sheet1!$L$11</definedName>
    <definedName name="solver_rhs4" localSheetId="3" hidden="1">Sheet1!$L$12</definedName>
    <definedName name="solver_rhs5" localSheetId="3" hidden="1">Sheet1!$L$13</definedName>
    <definedName name="solver_rhs6" localSheetId="3" hidden="1">Sheet1!$L$14</definedName>
    <definedName name="solver_rhs7" localSheetId="3" hidden="1">Sheet1!$L$15</definedName>
    <definedName name="solver_rhs8" localSheetId="3" hidden="1">Sheet1!$L$9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12" i="1"/>
  <c r="L13" i="1"/>
  <c r="J12" i="1"/>
  <c r="J6" i="1"/>
  <c r="J15" i="1"/>
  <c r="J14" i="1"/>
  <c r="J13" i="1"/>
  <c r="J11" i="1"/>
  <c r="J10" i="1"/>
  <c r="J9" i="1"/>
</calcChain>
</file>

<file path=xl/sharedStrings.xml><?xml version="1.0" encoding="utf-8"?>
<sst xmlns="http://schemas.openxmlformats.org/spreadsheetml/2006/main" count="186" uniqueCount="94">
  <si>
    <t>Constraint</t>
  </si>
  <si>
    <t>Large Jar</t>
  </si>
  <si>
    <t>Small Jar</t>
  </si>
  <si>
    <t>Large Pillar</t>
  </si>
  <si>
    <t>Small Pillar</t>
  </si>
  <si>
    <t>Votive Pack</t>
  </si>
  <si>
    <t>Limits</t>
  </si>
  <si>
    <t>Wax (lb)</t>
  </si>
  <si>
    <t>Fragrance (oz)</t>
  </si>
  <si>
    <t>Wick (ft)</t>
  </si>
  <si>
    <t>Display Space (Large)</t>
  </si>
  <si>
    <t>Display Space (Small)</t>
  </si>
  <si>
    <t>Votive Space</t>
  </si>
  <si>
    <t>More Jars than Pillars</t>
  </si>
  <si>
    <t>X1</t>
  </si>
  <si>
    <t>X2</t>
  </si>
  <si>
    <t>X3</t>
  </si>
  <si>
    <t>X4</t>
  </si>
  <si>
    <t>X5</t>
  </si>
  <si>
    <t>&lt;=</t>
  </si>
  <si>
    <t>&gt;=</t>
  </si>
  <si>
    <t>Obj.function</t>
  </si>
  <si>
    <t>Decision Variables</t>
  </si>
  <si>
    <t>Microsoft Excel 16.89 Answer Report</t>
  </si>
  <si>
    <t>Result: Solver found a solution.  All constraints and optimality conditions are satisfied.</t>
  </si>
  <si>
    <t>Solver Engine</t>
  </si>
  <si>
    <t>Engine: Simplex LP</t>
  </si>
  <si>
    <t>Iterations: 9 Subproblems: 0</t>
  </si>
  <si>
    <t>Solver Options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</si>
  <si>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</si>
  <si>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</si>
  <si>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</si>
  <si>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</si>
  <si>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</si>
  <si>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</si>
  <si>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</si>
  <si>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</si>
  <si>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</si>
  <si>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</si>
  <si>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</si>
  <si>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</si>
  <si>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</si>
  <si>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$J$6</t>
  </si>
  <si>
    <t>$E$5</t>
  </si>
  <si>
    <t>Decision Variables X1</t>
  </si>
  <si>
    <t>Contin</t>
  </si>
  <si>
    <t>$F$5</t>
  </si>
  <si>
    <t>Decision Variables X2</t>
  </si>
  <si>
    <t>$G$5</t>
  </si>
  <si>
    <t>Decision Variables X3</t>
  </si>
  <si>
    <t>$H$5</t>
  </si>
  <si>
    <t>Decision Variables X4</t>
  </si>
  <si>
    <t>$I$5</t>
  </si>
  <si>
    <t>Decision Variables X5</t>
  </si>
  <si>
    <t>$J$10</t>
  </si>
  <si>
    <t>$J$10&lt;=$L$10</t>
  </si>
  <si>
    <t>Not Binding</t>
  </si>
  <si>
    <t>$J$11</t>
  </si>
  <si>
    <t>$J$11&lt;=$L$11</t>
  </si>
  <si>
    <t>$J$12</t>
  </si>
  <si>
    <t>$J$12&gt;=$L$12</t>
  </si>
  <si>
    <t>Binding</t>
  </si>
  <si>
    <t>$J$13</t>
  </si>
  <si>
    <t>$J$13&gt;=$L$13</t>
  </si>
  <si>
    <t>$J$14</t>
  </si>
  <si>
    <t>$J$14&gt;=$L$14</t>
  </si>
  <si>
    <t>$J$15</t>
  </si>
  <si>
    <t>$J$15&gt;=$L$15</t>
  </si>
  <si>
    <t>$J$9</t>
  </si>
  <si>
    <t>$J$9&lt;=$L$9</t>
  </si>
  <si>
    <t>Microsoft Excel 16.89 Sensitivity Report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</si>
  <si>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</si>
  <si>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</si>
  <si>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</si>
  <si>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</si>
  <si>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</si>
  <si>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</si>
  <si>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</si>
  <si>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</si>
  <si>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</si>
  <si>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</si>
  <si>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</si>
  <si>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R.H. Side</t>
  </si>
  <si>
    <t>Microsoft Excel 16.89 Limits Report</t>
  </si>
  <si>
    <t>Variable</t>
  </si>
  <si>
    <t>Lower</t>
  </si>
  <si>
    <t>Limit</t>
  </si>
  <si>
    <t>Result</t>
  </si>
  <si>
    <t>Upper</t>
  </si>
  <si>
    <t>Worksheet: [Business Modelling Exam Assignment.xlsx]Sheet1</t>
  </si>
  <si>
    <t>Max Time Unlimited, Iterations Unlimited, Precision 0.000001, Use Automatic Scaling</t>
  </si>
  <si>
    <t>Report Created: 14/12/24 6:47:18 PM</t>
  </si>
  <si>
    <t>Solution Time: 483.845 Seconds.</t>
  </si>
  <si>
    <t>Report Created: 14/12/24 6:47:19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</si>
</sst>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EFF94"/>
        <bgColor indexed="64"/>
      </patternFill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1" fillId="0" borderId="6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4" borderId="6" xfId="0" applyFill="1" applyBorder="1"/>
    <xf numFmtId="0" fontId="0" fillId="4" borderId="6" xfId="0" applyFill="1" applyBorder="1" applyAlignment="1">
      <alignment horizontal="center" vertical="center"/>
    </xf>
    <xf numFmtId="0" fontId="0" fillId="4" borderId="14" xfId="0" applyFill="1" applyBorder="1"/>
    <xf numFmtId="0" fontId="0" fillId="4" borderId="15" xfId="0" applyFill="1" applyBorder="1"/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/>
    <xf numFmtId="0" fontId="1" fillId="3" borderId="6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4" borderId="17" xfId="0" applyFill="1" applyBorder="1"/>
    <xf numFmtId="0" fontId="0" fillId="4" borderId="18" xfId="0" applyFill="1" applyBorder="1"/>
    <xf numFmtId="0" fontId="1" fillId="0" borderId="14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3" borderId="17" xfId="0" applyFont="1" applyFill="1" applyBorder="1" applyAlignment="1">
      <alignment horizontal="center" vertical="top"/>
    </xf>
    <xf numFmtId="0" fontId="2" fillId="0" borderId="19" xfId="0" applyFont="1" applyBorder="1" applyAlignment="1">
      <alignment horizontal="left" vertical="top"/>
    </xf>
    <xf numFmtId="0" fontId="0" fillId="0" borderId="19" xfId="0" applyBorder="1"/>
    <xf numFmtId="0" fontId="0" fillId="0" borderId="20" xfId="0" applyBorder="1"/>
    <xf numFmtId="0" fontId="1" fillId="0" borderId="21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1" xfId="0" applyBorder="1"/>
    <xf numFmtId="0" fontId="0" fillId="4" borderId="7" xfId="0" applyFill="1" applyBorder="1"/>
    <xf numFmtId="0" fontId="0" fillId="4" borderId="22" xfId="0" applyFill="1" applyBorder="1"/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/>
    <xf numFmtId="0" fontId="0" fillId="0" borderId="4" xfId="0" applyFill="1" applyBorder="1" applyAlignment="1"/>
    <xf numFmtId="0" fontId="4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FF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BBB2-E77F-1340-A50B-B522B88B6448}">
  <dimension ref="A1:G36"/>
  <sheetViews>
    <sheetView showGridLines="0" workbookViewId="0"/>
  </sheetViews>
  <sheetFormatPr baseColWidth="10" defaultRowHeight="16" x14ac:dyDescent="0.2"/>
  <cols>
    <col min="1" max="1" width="2.33203125" customWidth="1"/>
    <col min="2" max="2" width="5.83203125" bestFit="1" customWidth="1"/>
    <col min="3" max="3" width="18.83203125" bestFit="1" customWidth="1"/>
    <col min="4" max="5" width="12.6640625" bestFit="1" customWidth="1"/>
    <col min="6" max="6" width="10.5" bestFit="1" customWidth="1"/>
    <col min="7" max="7" width="12.1640625" bestFit="1" customWidth="1"/>
  </cols>
  <sheetData>
    <row r="1" spans="1:5" x14ac:dyDescent="0.2">
      <c r="A1" s="1" t="s">
        <v>23</v>
      </c>
    </row>
    <row r="2" spans="1:5" x14ac:dyDescent="0.2">
      <c r="A2" s="1" t="s">
        <v>89</v>
      </c>
    </row>
    <row r="3" spans="1:5" x14ac:dyDescent="0.2">
      <c r="A3" s="1" t="s">
        <v>91</v>
      </c>
    </row>
    <row r="4" spans="1:5" x14ac:dyDescent="0.2">
      <c r="A4" s="1" t="s">
        <v>24</v>
      </c>
    </row>
    <row r="5" spans="1:5" x14ac:dyDescent="0.2">
      <c r="A5" s="1" t="s">
        <v>25</v>
      </c>
    </row>
    <row r="6" spans="1:5" x14ac:dyDescent="0.2">
      <c r="A6" s="1"/>
      <c r="B6" t="s">
        <v>26</v>
      </c>
    </row>
    <row r="7" spans="1:5" x14ac:dyDescent="0.2">
      <c r="A7" s="1"/>
      <c r="B7" t="s">
        <v>92</v>
      </c>
    </row>
    <row r="8" spans="1:5" x14ac:dyDescent="0.2">
      <c r="A8" s="1"/>
      <c r="B8" t="s">
        <v>27</v>
      </c>
    </row>
    <row r="9" spans="1:5" x14ac:dyDescent="0.2">
      <c r="A9" s="1" t="s">
        <v>28</v>
      </c>
    </row>
    <row r="10" spans="1:5" x14ac:dyDescent="0.2">
      <c r="B10" t="s">
        <v>90</v>
      </c>
    </row>
    <row r="11" spans="1:5" x14ac:dyDescent="0.2">
      <c r="B11" t="s">
        <v>29</v>
      </c>
    </row>
    <row r="14" spans="1:5" ht="17" thickBot="1" x14ac:dyDescent="0.25">
      <c r="A14" t="s">
        <v>30</v>
      </c>
    </row>
    <row r="15" spans="1:5" ht="17" thickBot="1" x14ac:dyDescent="0.25">
      <c r="B15" s="39" t="s">
        <v>31</v>
      </c>
      <c r="C15" s="39" t="s">
        <v>32</v>
      </c>
      <c r="D15" s="39" t="s">
        <v>33</v>
      </c>
      <c r="E15" s="39" t="s">
        <v>34</v>
      </c>
    </row>
    <row r="16" spans="1:5" ht="17" thickBot="1" x14ac:dyDescent="0.25">
      <c r="B16" s="38" t="s">
        <v>42</v>
      </c>
      <c r="C16" s="38" t="s">
        <v>21</v>
      </c>
      <c r="D16" s="41">
        <v>155363.77705128203</v>
      </c>
      <c r="E16" s="41">
        <v>155363.77705128203</v>
      </c>
    </row>
    <row r="19" spans="1:7" ht="17" thickBot="1" x14ac:dyDescent="0.25">
      <c r="A19" t="s">
        <v>35</v>
      </c>
    </row>
    <row r="20" spans="1:7" ht="17" thickBot="1" x14ac:dyDescent="0.25">
      <c r="B20" s="39" t="s">
        <v>31</v>
      </c>
      <c r="C20" s="39" t="s">
        <v>32</v>
      </c>
      <c r="D20" s="39" t="s">
        <v>33</v>
      </c>
      <c r="E20" s="39" t="s">
        <v>34</v>
      </c>
      <c r="F20" s="39" t="s">
        <v>36</v>
      </c>
    </row>
    <row r="21" spans="1:7" x14ac:dyDescent="0.2">
      <c r="B21" s="40" t="s">
        <v>43</v>
      </c>
      <c r="C21" s="40" t="s">
        <v>44</v>
      </c>
      <c r="D21" s="42">
        <v>35416.66666666665</v>
      </c>
      <c r="E21" s="42">
        <v>35416.66666666665</v>
      </c>
      <c r="F21" s="40" t="s">
        <v>45</v>
      </c>
    </row>
    <row r="22" spans="1:7" x14ac:dyDescent="0.2">
      <c r="B22" s="40" t="s">
        <v>46</v>
      </c>
      <c r="C22" s="40" t="s">
        <v>47</v>
      </c>
      <c r="D22" s="42">
        <v>326442.80769230763</v>
      </c>
      <c r="E22" s="42">
        <v>326442.80769230763</v>
      </c>
      <c r="F22" s="40" t="s">
        <v>45</v>
      </c>
    </row>
    <row r="23" spans="1:7" x14ac:dyDescent="0.2">
      <c r="B23" s="40" t="s">
        <v>48</v>
      </c>
      <c r="C23" s="40" t="s">
        <v>49</v>
      </c>
      <c r="D23" s="42">
        <v>0</v>
      </c>
      <c r="E23" s="42">
        <v>0</v>
      </c>
      <c r="F23" s="40" t="s">
        <v>45</v>
      </c>
    </row>
    <row r="24" spans="1:7" x14ac:dyDescent="0.2">
      <c r="B24" s="40" t="s">
        <v>50</v>
      </c>
      <c r="C24" s="40" t="s">
        <v>51</v>
      </c>
      <c r="D24" s="42">
        <v>361858.47435897437</v>
      </c>
      <c r="E24" s="42">
        <v>361858.47435897437</v>
      </c>
      <c r="F24" s="40" t="s">
        <v>45</v>
      </c>
    </row>
    <row r="25" spans="1:7" ht="17" thickBot="1" x14ac:dyDescent="0.25">
      <c r="B25" s="38" t="s">
        <v>52</v>
      </c>
      <c r="C25" s="38" t="s">
        <v>53</v>
      </c>
      <c r="D25" s="41">
        <v>32692.307692307662</v>
      </c>
      <c r="E25" s="41">
        <v>32692.307692307662</v>
      </c>
      <c r="F25" s="38" t="s">
        <v>45</v>
      </c>
    </row>
    <row r="28" spans="1:7" ht="17" thickBot="1" x14ac:dyDescent="0.25">
      <c r="A28" t="s">
        <v>37</v>
      </c>
    </row>
    <row r="29" spans="1:7" ht="17" thickBot="1" x14ac:dyDescent="0.25">
      <c r="B29" s="39" t="s">
        <v>31</v>
      </c>
      <c r="C29" s="39" t="s">
        <v>32</v>
      </c>
      <c r="D29" s="39" t="s">
        <v>38</v>
      </c>
      <c r="E29" s="39" t="s">
        <v>39</v>
      </c>
      <c r="F29" s="39" t="s">
        <v>40</v>
      </c>
      <c r="G29" s="39" t="s">
        <v>41</v>
      </c>
    </row>
    <row r="30" spans="1:7" x14ac:dyDescent="0.2">
      <c r="B30" s="40" t="s">
        <v>54</v>
      </c>
      <c r="C30" s="40" t="s">
        <v>8</v>
      </c>
      <c r="D30" s="42">
        <v>95999.999999999971</v>
      </c>
      <c r="E30" s="40" t="s">
        <v>55</v>
      </c>
      <c r="F30" s="40" t="s">
        <v>56</v>
      </c>
      <c r="G30" s="40">
        <v>4000.0000000000291</v>
      </c>
    </row>
    <row r="31" spans="1:7" x14ac:dyDescent="0.2">
      <c r="B31" s="40" t="s">
        <v>57</v>
      </c>
      <c r="C31" s="40" t="s">
        <v>9</v>
      </c>
      <c r="D31" s="42">
        <v>232613.72705128201</v>
      </c>
      <c r="E31" s="40" t="s">
        <v>58</v>
      </c>
      <c r="F31" s="40" t="s">
        <v>56</v>
      </c>
      <c r="G31" s="40">
        <v>17386.272948717989</v>
      </c>
    </row>
    <row r="32" spans="1:7" x14ac:dyDescent="0.2">
      <c r="B32" s="40" t="s">
        <v>59</v>
      </c>
      <c r="C32" s="40" t="s">
        <v>10</v>
      </c>
      <c r="D32" s="42">
        <v>16999.999999999993</v>
      </c>
      <c r="E32" s="40" t="s">
        <v>60</v>
      </c>
      <c r="F32" s="40" t="s">
        <v>61</v>
      </c>
      <c r="G32" s="42">
        <v>0</v>
      </c>
    </row>
    <row r="33" spans="2:7" x14ac:dyDescent="0.2">
      <c r="B33" s="40" t="s">
        <v>62</v>
      </c>
      <c r="C33" s="40" t="s">
        <v>11</v>
      </c>
      <c r="D33" s="42">
        <v>161573.72294871794</v>
      </c>
      <c r="E33" s="40" t="s">
        <v>63</v>
      </c>
      <c r="F33" s="40" t="s">
        <v>56</v>
      </c>
      <c r="G33" s="42">
        <v>148823.72294871794</v>
      </c>
    </row>
    <row r="34" spans="2:7" x14ac:dyDescent="0.2">
      <c r="B34" s="40" t="s">
        <v>64</v>
      </c>
      <c r="C34" s="40" t="s">
        <v>12</v>
      </c>
      <c r="D34" s="42">
        <v>8499.9999999999927</v>
      </c>
      <c r="E34" s="40" t="s">
        <v>65</v>
      </c>
      <c r="F34" s="40" t="s">
        <v>61</v>
      </c>
      <c r="G34" s="42">
        <v>0</v>
      </c>
    </row>
    <row r="35" spans="2:7" x14ac:dyDescent="0.2">
      <c r="B35" s="40" t="s">
        <v>66</v>
      </c>
      <c r="C35" s="40" t="s">
        <v>13</v>
      </c>
      <c r="D35" s="42">
        <v>0.99999999988358468</v>
      </c>
      <c r="E35" s="40" t="s">
        <v>67</v>
      </c>
      <c r="F35" s="40" t="s">
        <v>61</v>
      </c>
      <c r="G35" s="42">
        <v>0</v>
      </c>
    </row>
    <row r="36" spans="2:7" ht="17" thickBot="1" x14ac:dyDescent="0.25">
      <c r="B36" s="38" t="s">
        <v>68</v>
      </c>
      <c r="C36" s="38" t="s">
        <v>7</v>
      </c>
      <c r="D36" s="41">
        <v>199999.99999999997</v>
      </c>
      <c r="E36" s="38" t="s">
        <v>69</v>
      </c>
      <c r="F36" s="38" t="s">
        <v>61</v>
      </c>
      <c r="G36" s="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592C-BB3A-1040-98F3-C66EA554FACB}">
  <dimension ref="A1:H24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5.83203125" bestFit="1" customWidth="1"/>
    <col min="3" max="3" width="18.83203125" bestFit="1" customWidth="1"/>
    <col min="4" max="4" width="12.1640625" bestFit="1" customWidth="1"/>
    <col min="5" max="5" width="12.83203125" bestFit="1" customWidth="1"/>
    <col min="6" max="6" width="10.5" bestFit="1" customWidth="1"/>
    <col min="7" max="8" width="12.1640625" bestFit="1" customWidth="1"/>
  </cols>
  <sheetData>
    <row r="1" spans="1:8" x14ac:dyDescent="0.2">
      <c r="A1" s="1" t="s">
        <v>70</v>
      </c>
    </row>
    <row r="2" spans="1:8" x14ac:dyDescent="0.2">
      <c r="A2" s="1" t="s">
        <v>89</v>
      </c>
    </row>
    <row r="3" spans="1:8" x14ac:dyDescent="0.2">
      <c r="A3" s="1" t="s">
        <v>93</v>
      </c>
    </row>
    <row r="6" spans="1:8" ht="17" thickBot="1" x14ac:dyDescent="0.25">
      <c r="A6" t="s">
        <v>35</v>
      </c>
    </row>
    <row r="7" spans="1:8" x14ac:dyDescent="0.2">
      <c r="B7" s="43"/>
      <c r="C7" s="43"/>
      <c r="D7" s="43" t="s">
        <v>71</v>
      </c>
      <c r="E7" s="43" t="s">
        <v>73</v>
      </c>
      <c r="F7" s="43" t="s">
        <v>75</v>
      </c>
      <c r="G7" s="43" t="s">
        <v>77</v>
      </c>
      <c r="H7" s="43" t="s">
        <v>77</v>
      </c>
    </row>
    <row r="8" spans="1:8" ht="17" thickBot="1" x14ac:dyDescent="0.25">
      <c r="B8" s="44" t="s">
        <v>31</v>
      </c>
      <c r="C8" s="44" t="s">
        <v>32</v>
      </c>
      <c r="D8" s="44" t="s">
        <v>72</v>
      </c>
      <c r="E8" s="44" t="s">
        <v>74</v>
      </c>
      <c r="F8" s="44" t="s">
        <v>76</v>
      </c>
      <c r="G8" s="44" t="s">
        <v>78</v>
      </c>
      <c r="H8" s="44" t="s">
        <v>79</v>
      </c>
    </row>
    <row r="9" spans="1:8" x14ac:dyDescent="0.2">
      <c r="B9" s="40" t="s">
        <v>43</v>
      </c>
      <c r="C9" s="40" t="s">
        <v>44</v>
      </c>
      <c r="D9" s="40">
        <v>35416.66666666665</v>
      </c>
      <c r="E9" s="40">
        <v>0</v>
      </c>
      <c r="F9" s="40">
        <v>0.25</v>
      </c>
      <c r="G9" s="40">
        <v>0.15500000000000005</v>
      </c>
      <c r="H9" s="40">
        <v>0.2102173913043478</v>
      </c>
    </row>
    <row r="10" spans="1:8" x14ac:dyDescent="0.2">
      <c r="B10" s="40" t="s">
        <v>46</v>
      </c>
      <c r="C10" s="40" t="s">
        <v>47</v>
      </c>
      <c r="D10" s="40">
        <v>326442.80769230763</v>
      </c>
      <c r="E10" s="40">
        <v>0</v>
      </c>
      <c r="F10" s="40">
        <v>0.2</v>
      </c>
      <c r="G10" s="40">
        <v>9.9999999999999534E-3</v>
      </c>
      <c r="H10" s="40">
        <v>0.10333333333333335</v>
      </c>
    </row>
    <row r="11" spans="1:8" x14ac:dyDescent="0.2">
      <c r="B11" s="40" t="s">
        <v>48</v>
      </c>
      <c r="C11" s="40" t="s">
        <v>49</v>
      </c>
      <c r="D11" s="40">
        <v>0</v>
      </c>
      <c r="E11" s="40">
        <v>-0.10072916666666668</v>
      </c>
      <c r="F11" s="40">
        <v>0.23999999999999994</v>
      </c>
      <c r="G11" s="40">
        <v>0.10072916666666668</v>
      </c>
      <c r="H11" s="40">
        <v>1E+30</v>
      </c>
    </row>
    <row r="12" spans="1:8" x14ac:dyDescent="0.2">
      <c r="B12" s="40" t="s">
        <v>50</v>
      </c>
      <c r="C12" s="40" t="s">
        <v>51</v>
      </c>
      <c r="D12" s="40">
        <v>361858.47435897437</v>
      </c>
      <c r="E12" s="40">
        <v>0</v>
      </c>
      <c r="F12" s="40">
        <v>0.20999999999999996</v>
      </c>
      <c r="G12" s="40">
        <v>1E+30</v>
      </c>
      <c r="H12" s="40">
        <v>9.9999999999999534E-3</v>
      </c>
    </row>
    <row r="13" spans="1:8" ht="17" thickBot="1" x14ac:dyDescent="0.25">
      <c r="B13" s="38" t="s">
        <v>52</v>
      </c>
      <c r="C13" s="38" t="s">
        <v>53</v>
      </c>
      <c r="D13" s="38">
        <v>32692.307692307662</v>
      </c>
      <c r="E13" s="38">
        <v>0</v>
      </c>
      <c r="F13" s="38">
        <v>0.15999999999999992</v>
      </c>
      <c r="G13" s="38">
        <v>9.6250000000000085E-2</v>
      </c>
      <c r="H13" s="38">
        <v>1E+30</v>
      </c>
    </row>
    <row r="15" spans="1:8" ht="17" thickBot="1" x14ac:dyDescent="0.25">
      <c r="A15" t="s">
        <v>37</v>
      </c>
    </row>
    <row r="16" spans="1:8" x14ac:dyDescent="0.2">
      <c r="B16" s="43"/>
      <c r="C16" s="43"/>
      <c r="D16" s="43" t="s">
        <v>71</v>
      </c>
      <c r="E16" s="43" t="s">
        <v>80</v>
      </c>
      <c r="F16" s="43" t="s">
        <v>0</v>
      </c>
      <c r="G16" s="43" t="s">
        <v>77</v>
      </c>
      <c r="H16" s="43" t="s">
        <v>77</v>
      </c>
    </row>
    <row r="17" spans="2:8" ht="17" thickBot="1" x14ac:dyDescent="0.25">
      <c r="B17" s="44" t="s">
        <v>31</v>
      </c>
      <c r="C17" s="44" t="s">
        <v>32</v>
      </c>
      <c r="D17" s="44" t="s">
        <v>72</v>
      </c>
      <c r="E17" s="44" t="s">
        <v>81</v>
      </c>
      <c r="F17" s="44" t="s">
        <v>82</v>
      </c>
      <c r="G17" s="44" t="s">
        <v>78</v>
      </c>
      <c r="H17" s="44" t="s">
        <v>79</v>
      </c>
    </row>
    <row r="18" spans="2:8" x14ac:dyDescent="0.2">
      <c r="B18" s="40" t="s">
        <v>54</v>
      </c>
      <c r="C18" s="40" t="s">
        <v>8</v>
      </c>
      <c r="D18" s="40">
        <v>95999.999999999971</v>
      </c>
      <c r="E18" s="40">
        <v>0</v>
      </c>
      <c r="F18" s="40">
        <v>100000</v>
      </c>
      <c r="G18" s="40">
        <v>1E+30</v>
      </c>
      <c r="H18" s="40">
        <v>4000.00000000001</v>
      </c>
    </row>
    <row r="19" spans="2:8" x14ac:dyDescent="0.2">
      <c r="B19" s="40" t="s">
        <v>57</v>
      </c>
      <c r="C19" s="40" t="s">
        <v>9</v>
      </c>
      <c r="D19" s="40">
        <v>232613.72705128201</v>
      </c>
      <c r="E19" s="40">
        <v>0</v>
      </c>
      <c r="F19" s="40">
        <v>250000</v>
      </c>
      <c r="G19" s="40">
        <v>1E+30</v>
      </c>
      <c r="H19" s="40">
        <v>17386.272948717975</v>
      </c>
    </row>
    <row r="20" spans="2:8" x14ac:dyDescent="0.2">
      <c r="B20" s="40" t="s">
        <v>59</v>
      </c>
      <c r="C20" s="40" t="s">
        <v>10</v>
      </c>
      <c r="D20" s="40">
        <v>16999.999999999993</v>
      </c>
      <c r="E20" s="40">
        <v>-0.3229166666666668</v>
      </c>
      <c r="F20" s="40">
        <v>17000</v>
      </c>
      <c r="G20" s="40">
        <v>104461.69846153841</v>
      </c>
      <c r="H20" s="40">
        <v>16999.999999999989</v>
      </c>
    </row>
    <row r="21" spans="2:8" x14ac:dyDescent="0.2">
      <c r="B21" s="40" t="s">
        <v>62</v>
      </c>
      <c r="C21" s="40" t="s">
        <v>11</v>
      </c>
      <c r="D21" s="40">
        <v>161573.72294871794</v>
      </c>
      <c r="E21" s="40">
        <v>0</v>
      </c>
      <c r="F21" s="40">
        <v>12750</v>
      </c>
      <c r="G21" s="40">
        <v>148823.72294871794</v>
      </c>
      <c r="H21" s="40">
        <v>1E+30</v>
      </c>
    </row>
    <row r="22" spans="2:8" x14ac:dyDescent="0.2">
      <c r="B22" s="40" t="s">
        <v>64</v>
      </c>
      <c r="C22" s="40" t="s">
        <v>12</v>
      </c>
      <c r="D22" s="40">
        <v>8499.9999999999927</v>
      </c>
      <c r="E22" s="40">
        <v>-0.3701923076923081</v>
      </c>
      <c r="F22" s="40">
        <v>8500</v>
      </c>
      <c r="G22" s="40">
        <v>9907.7938995433906</v>
      </c>
      <c r="H22" s="40">
        <v>8499.9999999999909</v>
      </c>
    </row>
    <row r="23" spans="2:8" x14ac:dyDescent="0.2">
      <c r="B23" s="40" t="s">
        <v>66</v>
      </c>
      <c r="C23" s="40" t="s">
        <v>13</v>
      </c>
      <c r="D23" s="40">
        <v>0.99999999988358468</v>
      </c>
      <c r="E23" s="40">
        <v>-4.9999999999999767E-3</v>
      </c>
      <c r="F23" s="40">
        <v>1</v>
      </c>
      <c r="G23" s="40">
        <v>723716.94871794875</v>
      </c>
      <c r="H23" s="40">
        <v>316114.05361305404</v>
      </c>
    </row>
    <row r="24" spans="2:8" ht="17" thickBot="1" x14ac:dyDescent="0.25">
      <c r="B24" s="38" t="s">
        <v>68</v>
      </c>
      <c r="C24" s="38" t="s">
        <v>7</v>
      </c>
      <c r="D24" s="38">
        <v>199999.99999999997</v>
      </c>
      <c r="E24" s="38">
        <v>0.82</v>
      </c>
      <c r="F24" s="38">
        <v>200000</v>
      </c>
      <c r="G24" s="38">
        <v>8333.3333333333558</v>
      </c>
      <c r="H24" s="38">
        <v>158323.10951991269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A38E-B243-CE47-A476-247933CAE1C2}">
  <dimension ref="A1:J17"/>
  <sheetViews>
    <sheetView showGridLines="0" workbookViewId="0">
      <selection sqref="A1:A3"/>
    </sheetView>
  </sheetViews>
  <sheetFormatPr baseColWidth="10" defaultRowHeight="16" x14ac:dyDescent="0.2"/>
  <cols>
    <col min="1" max="1" width="2.33203125" customWidth="1"/>
    <col min="2" max="2" width="5.5" bestFit="1" customWidth="1"/>
    <col min="3" max="3" width="18.6640625" bestFit="1" customWidth="1"/>
    <col min="4" max="4" width="12.1640625" bestFit="1" customWidth="1"/>
    <col min="5" max="5" width="2.33203125" customWidth="1"/>
    <col min="6" max="6" width="6.1640625" bestFit="1" customWidth="1"/>
    <col min="7" max="7" width="9" bestFit="1" customWidth="1"/>
    <col min="8" max="8" width="2.33203125" customWidth="1"/>
    <col min="9" max="9" width="6.1640625" bestFit="1" customWidth="1"/>
    <col min="10" max="10" width="9" bestFit="1" customWidth="1"/>
  </cols>
  <sheetData>
    <row r="1" spans="1:10" x14ac:dyDescent="0.2">
      <c r="A1" s="1" t="s">
        <v>83</v>
      </c>
    </row>
    <row r="2" spans="1:10" x14ac:dyDescent="0.2">
      <c r="A2" s="1" t="s">
        <v>89</v>
      </c>
    </row>
    <row r="3" spans="1:10" x14ac:dyDescent="0.2">
      <c r="A3" s="1" t="s">
        <v>93</v>
      </c>
    </row>
    <row r="5" spans="1:10" ht="17" thickBot="1" x14ac:dyDescent="0.25"/>
    <row r="6" spans="1:10" x14ac:dyDescent="0.2">
      <c r="B6" s="43"/>
      <c r="C6" s="43" t="s">
        <v>75</v>
      </c>
      <c r="D6" s="43"/>
    </row>
    <row r="7" spans="1:10" ht="17" thickBot="1" x14ac:dyDescent="0.25">
      <c r="B7" s="44" t="s">
        <v>31</v>
      </c>
      <c r="C7" s="44" t="s">
        <v>32</v>
      </c>
      <c r="D7" s="44" t="s">
        <v>72</v>
      </c>
    </row>
    <row r="8" spans="1:10" ht="17" thickBot="1" x14ac:dyDescent="0.25">
      <c r="B8" s="38" t="s">
        <v>42</v>
      </c>
      <c r="C8" s="38" t="s">
        <v>21</v>
      </c>
      <c r="D8" s="41">
        <v>155363.77705128203</v>
      </c>
    </row>
    <row r="10" spans="1:10" ht="17" thickBot="1" x14ac:dyDescent="0.25"/>
    <row r="11" spans="1:10" x14ac:dyDescent="0.2">
      <c r="B11" s="43"/>
      <c r="C11" s="43" t="s">
        <v>84</v>
      </c>
      <c r="D11" s="43"/>
      <c r="F11" s="43" t="s">
        <v>85</v>
      </c>
      <c r="G11" s="43" t="s">
        <v>75</v>
      </c>
      <c r="I11" s="43" t="s">
        <v>88</v>
      </c>
      <c r="J11" s="43" t="s">
        <v>75</v>
      </c>
    </row>
    <row r="12" spans="1:10" ht="17" thickBot="1" x14ac:dyDescent="0.25">
      <c r="B12" s="44" t="s">
        <v>31</v>
      </c>
      <c r="C12" s="44" t="s">
        <v>32</v>
      </c>
      <c r="D12" s="44" t="s">
        <v>72</v>
      </c>
      <c r="F12" s="44" t="s">
        <v>86</v>
      </c>
      <c r="G12" s="44" t="s">
        <v>87</v>
      </c>
      <c r="I12" s="44" t="s">
        <v>86</v>
      </c>
      <c r="J12" s="44" t="s">
        <v>87</v>
      </c>
    </row>
    <row r="13" spans="1:10" x14ac:dyDescent="0.2">
      <c r="B13" s="40" t="s">
        <v>43</v>
      </c>
      <c r="C13" s="40" t="s">
        <v>44</v>
      </c>
      <c r="D13" s="42">
        <v>35416.66666666665</v>
      </c>
      <c r="F13" s="42">
        <v>0</v>
      </c>
      <c r="G13" s="42">
        <v>85</v>
      </c>
      <c r="I13" s="42">
        <v>250</v>
      </c>
      <c r="J13" s="42">
        <v>18835</v>
      </c>
    </row>
    <row r="14" spans="1:10" x14ac:dyDescent="0.2">
      <c r="B14" s="40" t="s">
        <v>46</v>
      </c>
      <c r="C14" s="40" t="s">
        <v>47</v>
      </c>
      <c r="D14" s="42">
        <v>326442.80769230763</v>
      </c>
      <c r="F14" s="42">
        <v>0</v>
      </c>
      <c r="G14" s="42">
        <v>110</v>
      </c>
      <c r="I14" s="42">
        <v>398.5</v>
      </c>
      <c r="J14" s="42">
        <v>20035</v>
      </c>
    </row>
    <row r="15" spans="1:10" x14ac:dyDescent="0.2">
      <c r="B15" s="40" t="s">
        <v>48</v>
      </c>
      <c r="C15" s="40" t="s">
        <v>49</v>
      </c>
      <c r="D15" s="42">
        <v>0</v>
      </c>
      <c r="F15" s="42">
        <v>0</v>
      </c>
      <c r="G15" s="42">
        <v>125</v>
      </c>
      <c r="I15" s="42">
        <v>597</v>
      </c>
      <c r="J15" s="42">
        <v>21020</v>
      </c>
    </row>
    <row r="16" spans="1:10" x14ac:dyDescent="0.2">
      <c r="B16" s="40" t="s">
        <v>50</v>
      </c>
      <c r="C16" s="40" t="s">
        <v>51</v>
      </c>
      <c r="D16" s="42">
        <v>361858.47435897437</v>
      </c>
      <c r="F16" s="42"/>
      <c r="G16" s="42"/>
      <c r="I16" s="42"/>
      <c r="J16" s="42"/>
    </row>
    <row r="17" spans="2:10" ht="17" thickBot="1" x14ac:dyDescent="0.25">
      <c r="B17" s="38" t="s">
        <v>52</v>
      </c>
      <c r="C17" s="38" t="s">
        <v>53</v>
      </c>
      <c r="D17" s="41">
        <v>32692.307692307662</v>
      </c>
      <c r="F17" s="41"/>
      <c r="G17" s="41"/>
      <c r="I17" s="41"/>
      <c r="J17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C455-8032-A04E-8D8C-0E32ADF707FC}">
  <dimension ref="D2:L15"/>
  <sheetViews>
    <sheetView tabSelected="1" zoomScaleNormal="100" workbookViewId="0">
      <selection activeCell="L13" sqref="L13"/>
    </sheetView>
  </sheetViews>
  <sheetFormatPr baseColWidth="10" defaultRowHeight="16" x14ac:dyDescent="0.2"/>
  <cols>
    <col min="3" max="3" width="10.83203125" customWidth="1"/>
    <col min="4" max="4" width="19" customWidth="1"/>
  </cols>
  <sheetData>
    <row r="2" spans="4:12" ht="17" thickBot="1" x14ac:dyDescent="0.25"/>
    <row r="3" spans="4:12" ht="27" customHeight="1" thickBot="1" x14ac:dyDescent="0.25">
      <c r="D3" s="5"/>
      <c r="E3" s="6" t="s">
        <v>1</v>
      </c>
      <c r="F3" s="7" t="s">
        <v>2</v>
      </c>
      <c r="G3" s="7" t="s">
        <v>3</v>
      </c>
      <c r="H3" s="7" t="s">
        <v>4</v>
      </c>
      <c r="I3" s="7" t="s">
        <v>5</v>
      </c>
      <c r="J3" s="7"/>
      <c r="K3" s="7"/>
      <c r="L3" s="8" t="s">
        <v>6</v>
      </c>
    </row>
    <row r="4" spans="4:12" x14ac:dyDescent="0.2">
      <c r="D4" s="25"/>
      <c r="E4" s="26" t="s">
        <v>14</v>
      </c>
      <c r="F4" s="27" t="s">
        <v>15</v>
      </c>
      <c r="G4" s="27" t="s">
        <v>16</v>
      </c>
      <c r="H4" s="27" t="s">
        <v>17</v>
      </c>
      <c r="I4" s="27" t="s">
        <v>18</v>
      </c>
      <c r="J4" s="27"/>
      <c r="K4" s="27"/>
      <c r="L4" s="28"/>
    </row>
    <row r="5" spans="4:12" x14ac:dyDescent="0.2">
      <c r="D5" s="22" t="s">
        <v>22</v>
      </c>
      <c r="E5" s="21">
        <v>35416.66666666665</v>
      </c>
      <c r="F5" s="15">
        <v>326442.80769230763</v>
      </c>
      <c r="G5" s="15">
        <v>0</v>
      </c>
      <c r="H5" s="15">
        <v>361858.47435897437</v>
      </c>
      <c r="I5" s="15">
        <v>32692.307692307662</v>
      </c>
      <c r="J5" s="2"/>
      <c r="K5" s="2"/>
      <c r="L5" s="19"/>
    </row>
    <row r="6" spans="4:12" x14ac:dyDescent="0.2">
      <c r="D6" s="22" t="s">
        <v>21</v>
      </c>
      <c r="E6" s="20">
        <v>0.25</v>
      </c>
      <c r="F6" s="2">
        <v>0.2</v>
      </c>
      <c r="G6" s="2">
        <v>0.24</v>
      </c>
      <c r="H6" s="2">
        <v>0.21</v>
      </c>
      <c r="I6" s="2">
        <v>0.16</v>
      </c>
      <c r="J6" s="16">
        <f>SUMPRODUCT(E5:I5,E6:I6)</f>
        <v>155363.77705128203</v>
      </c>
      <c r="K6" s="2"/>
      <c r="L6" s="19"/>
    </row>
    <row r="7" spans="4:12" ht="17" thickBot="1" x14ac:dyDescent="0.25">
      <c r="D7" s="29"/>
      <c r="E7" s="30"/>
      <c r="F7" s="31"/>
      <c r="G7" s="31"/>
      <c r="H7" s="31"/>
      <c r="I7" s="31"/>
      <c r="J7" s="31"/>
      <c r="K7" s="31"/>
      <c r="L7" s="32"/>
    </row>
    <row r="8" spans="4:12" ht="17" customHeight="1" thickBot="1" x14ac:dyDescent="0.25">
      <c r="D8" s="5" t="s">
        <v>0</v>
      </c>
      <c r="E8" s="3"/>
      <c r="F8" s="3"/>
      <c r="G8" s="3"/>
      <c r="H8" s="3"/>
      <c r="I8" s="3"/>
      <c r="J8" s="3"/>
      <c r="K8" s="3"/>
      <c r="L8" s="4"/>
    </row>
    <row r="9" spans="4:12" x14ac:dyDescent="0.2">
      <c r="D9" s="33" t="s">
        <v>7</v>
      </c>
      <c r="E9" s="34">
        <v>0.5</v>
      </c>
      <c r="F9" s="35">
        <v>0.25</v>
      </c>
      <c r="G9" s="35">
        <v>0.5</v>
      </c>
      <c r="H9" s="35">
        <v>0.25</v>
      </c>
      <c r="I9" s="35">
        <v>0.3125</v>
      </c>
      <c r="J9" s="35">
        <f>SUMPRODUCT(E5:I5,E9:I9)</f>
        <v>199999.99999999997</v>
      </c>
      <c r="K9" s="36" t="s">
        <v>19</v>
      </c>
      <c r="L9" s="37">
        <v>200000</v>
      </c>
    </row>
    <row r="10" spans="4:12" x14ac:dyDescent="0.2">
      <c r="D10" s="23" t="s">
        <v>8</v>
      </c>
      <c r="E10" s="17">
        <v>0.24</v>
      </c>
      <c r="F10" s="9">
        <v>0.12</v>
      </c>
      <c r="G10" s="9">
        <v>0.24</v>
      </c>
      <c r="H10" s="9">
        <v>0.12</v>
      </c>
      <c r="I10" s="9">
        <v>0.15</v>
      </c>
      <c r="J10" s="9">
        <f>SUMPRODUCT(E5:I5,E10:I10)</f>
        <v>95999.999999999971</v>
      </c>
      <c r="K10" s="10" t="s">
        <v>19</v>
      </c>
      <c r="L10" s="11">
        <v>100000</v>
      </c>
    </row>
    <row r="11" spans="4:12" x14ac:dyDescent="0.2">
      <c r="D11" s="23" t="s">
        <v>9</v>
      </c>
      <c r="E11" s="17">
        <v>0.43</v>
      </c>
      <c r="F11" s="9">
        <v>0.22</v>
      </c>
      <c r="G11" s="9">
        <v>0.57999999999999996</v>
      </c>
      <c r="H11" s="9">
        <v>0.33</v>
      </c>
      <c r="I11" s="9">
        <v>0.8</v>
      </c>
      <c r="J11" s="9">
        <f>SUMPRODUCT(E5:I5,E11:I11)</f>
        <v>232613.72705128201</v>
      </c>
      <c r="K11" s="10" t="s">
        <v>19</v>
      </c>
      <c r="L11" s="11">
        <v>250000</v>
      </c>
    </row>
    <row r="12" spans="4:12" x14ac:dyDescent="0.2">
      <c r="D12" s="23" t="s">
        <v>10</v>
      </c>
      <c r="E12" s="17">
        <v>0.48</v>
      </c>
      <c r="F12" s="9">
        <v>0</v>
      </c>
      <c r="G12" s="9">
        <v>0.23</v>
      </c>
      <c r="H12" s="9">
        <v>0</v>
      </c>
      <c r="I12" s="9">
        <v>0</v>
      </c>
      <c r="J12" s="9">
        <f>SUMPRODUCT(E5:I5,E12:I12)</f>
        <v>16999.999999999993</v>
      </c>
      <c r="K12" s="10" t="s">
        <v>20</v>
      </c>
      <c r="L12" s="11">
        <f>2*8500</f>
        <v>17000</v>
      </c>
    </row>
    <row r="13" spans="4:12" x14ac:dyDescent="0.2">
      <c r="D13" s="23" t="s">
        <v>11</v>
      </c>
      <c r="E13" s="17">
        <v>0</v>
      </c>
      <c r="F13" s="9">
        <v>0.24</v>
      </c>
      <c r="G13" s="9">
        <v>0</v>
      </c>
      <c r="H13" s="9">
        <v>0.23</v>
      </c>
      <c r="I13" s="9">
        <v>0</v>
      </c>
      <c r="J13" s="9">
        <f>SUMPRODUCT(E5:I5,E13:I13)</f>
        <v>161573.72294871794</v>
      </c>
      <c r="K13" s="10" t="s">
        <v>20</v>
      </c>
      <c r="L13" s="11">
        <f>1.5*8500</f>
        <v>12750</v>
      </c>
    </row>
    <row r="14" spans="4:12" x14ac:dyDescent="0.2">
      <c r="D14" s="23" t="s">
        <v>12</v>
      </c>
      <c r="E14" s="17">
        <v>0</v>
      </c>
      <c r="F14" s="9">
        <v>0</v>
      </c>
      <c r="G14" s="9">
        <v>0</v>
      </c>
      <c r="H14" s="9">
        <v>0</v>
      </c>
      <c r="I14" s="9">
        <v>0.26</v>
      </c>
      <c r="J14" s="9">
        <f>SUMPRODUCT(E5:I5,E14:I14)</f>
        <v>8499.9999999999927</v>
      </c>
      <c r="K14" s="10" t="s">
        <v>20</v>
      </c>
      <c r="L14" s="11">
        <f>1*8500</f>
        <v>8500</v>
      </c>
    </row>
    <row r="15" spans="4:12" ht="17" thickBot="1" x14ac:dyDescent="0.25">
      <c r="D15" s="24" t="s">
        <v>13</v>
      </c>
      <c r="E15" s="18">
        <v>1</v>
      </c>
      <c r="F15" s="12">
        <v>1</v>
      </c>
      <c r="G15" s="12">
        <v>-1</v>
      </c>
      <c r="H15" s="12">
        <v>-1</v>
      </c>
      <c r="I15" s="12">
        <v>0</v>
      </c>
      <c r="J15" s="12">
        <f>SUMPRODUCT(E5:I5,E15:I15)</f>
        <v>0.99999999988358468</v>
      </c>
      <c r="K15" s="13" t="s">
        <v>20</v>
      </c>
      <c r="L15" s="14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 Report 1</vt:lpstr>
      <vt:lpstr>Sensitivity Report 1</vt:lpstr>
      <vt:lpstr>Limits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AMIT</dc:creator>
  <cp:lastModifiedBy>KUMAR, AMIT</cp:lastModifiedBy>
  <dcterms:created xsi:type="dcterms:W3CDTF">2024-12-14T15:00:36Z</dcterms:created>
  <dcterms:modified xsi:type="dcterms:W3CDTF">2024-12-14T23:20:17Z</dcterms:modified>
</cp:coreProperties>
</file>